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Bug Report" sheetId="2" r:id="rId5"/>
    <sheet state="visible" name="Summary" sheetId="3" r:id="rId6"/>
  </sheets>
  <definedNames/>
  <calcPr/>
  <extLst>
    <ext uri="GoogleSheetsCustomDataVersion2">
      <go:sheetsCustomData xmlns:go="http://customooxmlschemas.google.com/" r:id="rId7" roundtripDataChecksum="h2zhHlP40qBxe8HGUnT5mADItj+AznpcVK+rkYyE1ik="/>
    </ext>
  </extLst>
</workbook>
</file>

<file path=xl/sharedStrings.xml><?xml version="1.0" encoding="utf-8"?>
<sst xmlns="http://schemas.openxmlformats.org/spreadsheetml/2006/main" count="146" uniqueCount="102">
  <si>
    <t>🐞  BUG REPORT</t>
  </si>
  <si>
    <t>Website QA Testing — admindev.smartbancharampur.com</t>
  </si>
  <si>
    <t>━━━━━━━━━━━━━━━━━━━━━━━━━━━━━━━━━━━━━━━━━━━━━━━━━━━━━━━━━━━━━━━━━━━━━━━━━━━━━━━━</t>
  </si>
  <si>
    <t>Prepared By</t>
  </si>
  <si>
    <t>Md. Nafijul Islam</t>
  </si>
  <si>
    <t xml:space="preserve">  </t>
  </si>
  <si>
    <t>Test URL</t>
  </si>
  <si>
    <t>https://admindev.smartbancharampur.com/</t>
  </si>
  <si>
    <t>Credentials</t>
  </si>
  <si>
    <t>Phone: 01625568609  |  Password: secret</t>
  </si>
  <si>
    <t>Test Date</t>
  </si>
  <si>
    <t>Test Type</t>
  </si>
  <si>
    <t>Functional / UI / UX</t>
  </si>
  <si>
    <t>Total Bugs</t>
  </si>
  <si>
    <t>Bug ID</t>
  </si>
  <si>
    <t>Report Date</t>
  </si>
  <si>
    <t>Module</t>
  </si>
  <si>
    <t>Bug Title</t>
  </si>
  <si>
    <t>Steps to Reproduce</t>
  </si>
  <si>
    <t>Expected Result</t>
  </si>
  <si>
    <t>Actual Result</t>
  </si>
  <si>
    <t>Priority</t>
  </si>
  <si>
    <t>Severity</t>
  </si>
  <si>
    <t>Status</t>
  </si>
  <si>
    <t>Screenshot Instruction</t>
  </si>
  <si>
    <t>BUG-001</t>
  </si>
  <si>
    <t>User Registration</t>
  </si>
  <si>
    <t>Full Name field accepts numeric only input during registration</t>
  </si>
  <si>
    <r>
      <rPr>
        <rFont val="Arial"/>
        <color theme="1"/>
        <sz val="11.0"/>
      </rPr>
      <t xml:space="preserve">1. Open a browser and navigate to: </t>
    </r>
    <r>
      <rPr>
        <rFont val="Arial"/>
        <color rgb="FF1155CC"/>
        <sz val="11.0"/>
        <u/>
      </rPr>
      <t>https://admindev.smartbancharampur.com/register</t>
    </r>
    <r>
      <rPr>
        <rFont val="Arial"/>
        <color theme="1"/>
        <sz val="11.0"/>
      </rPr>
      <t xml:space="preserve">
2. In the Full Name field, enter numeric-only input (123456)
3. Fill in all other required fields with valid data
4. Click on the Register / Submit button
5. Observe the result</t>
    </r>
  </si>
  <si>
    <t>The system should reject numeric-only input in the Full Name field and display a validation error message such as “Name must contain alphabetic characters only.”</t>
  </si>
  <si>
    <t>The system accepts numeric-only input (123456) and successfully registers the account without any validation error.</t>
  </si>
  <si>
    <t>High</t>
  </si>
  <si>
    <t>Open</t>
  </si>
  <si>
    <t>BUG-002</t>
  </si>
  <si>
    <t>Authentication / Session Management / Village Submission &amp; Approval Flow</t>
  </si>
  <si>
    <t>Session and role context inconsistency in multi-tab login causing unstable user identity during submission flow</t>
  </si>
  <si>
    <t xml:space="preserve">1. Open browser and navigate to [https://admindev.smartbancharampur.com/login](https://admindev.smartbancharampur.com/login)
2. Login with Account A (Volunteer account)
3. Navigate to “Add Village” form
4. Fill in all required village details but do not submit yet
5. Open a new tab in the same browser
6. Login with Account B (Admin account)
7. Return to Account A tab
8. Click the Submit button on the filled form
9. Observe success message
10. Refresh the page and observe account/session state and submitted data behavior
11. Login with Admin account (Account B) and check approval section for submitted data
</t>
  </si>
  <si>
    <t>Each browser tab/session should maintain its own stable authentication state without interference. Account A (Volunteer) should remain active during form filling and submission, and data should be submitted under Account A’s session. Account B (Admin) should operate independently and only view submitted data in the approval section. No automatic session switching or role mixing should occur on page refresh or tab interaction.</t>
  </si>
  <si>
    <t>After logging into Account B in a new tab, Account A session becomes unstable. On refresh, Account A session may switch to Account B, causing identity confusion. Although the submission shows a success message, the session context is inconsistent, and user roles (Volunteer/Admin) appear mixed within the same browser session.</t>
  </si>
  <si>
    <t>Critical</t>
  </si>
  <si>
    <t>BUG-003</t>
  </si>
  <si>
    <t>Member Management</t>
  </si>
  <si>
    <t>Phone number field accepts excessively long input without validation</t>
  </si>
  <si>
    <t xml:space="preserve">1. Open browser and navigate to the Member Management module
2. Go to “Add Member” form
3. Enter a valid name in the Name field
4. Enter a very long phone number (e.g., 20 digits or more) in the Phone Number field
5. Click on the “Add” / “Submit” button
6. Observe the result
</t>
  </si>
  <si>
    <t>The system should validate the phone number field and only allow valid phone numbers within the defined length. If the input exceeds the allowed limit or is invalid, the system should display an appropriate error message such as “Please enter a valid phone number within the allowed range” and should not allow form submission.</t>
  </si>
  <si>
    <t>The system accepts phone numbers with 20 or more digits without any validation or error message. The form is submitted successfully, and the invalid phone number is stored in the system.</t>
  </si>
  <si>
    <t>BUG-004</t>
  </si>
  <si>
    <t>Dashboard</t>
  </si>
  <si>
    <t>Village count not updating after adding new record</t>
  </si>
  <si>
    <t>1. Login as Admin and navigate to Dashboard
2. Note the current Village count (e.g., 137)
3. Navigate to Village Management and add a new village
4. Return to the Dashboard
5. Observe the Village counter value</t>
  </si>
  <si>
    <t>The village count should update dynamically and increment correctly (e.g., from 137 to 138) after adding a new village.</t>
  </si>
  <si>
    <t>Dashboard does not update the village count after adding a new record and continues to show outdated data instead of the expected increment.</t>
  </si>
  <si>
    <t>BUG-005</t>
  </si>
  <si>
    <t>Village Management</t>
  </si>
  <si>
    <t>Duplicate village entry allowed without validation</t>
  </si>
  <si>
    <t>1. Navigate to Village Management and note existing village 'TestVillage01'
2. Click 'Add Village'
3. Enter the same name 'TestVillage01'
4. Fill other required fields
5. Click Submit and observe the result</t>
  </si>
  <si>
    <t>System should reject duplicate village names and display an error message like 'Village with this name already exists'. The form should not be submitted.</t>
  </si>
  <si>
    <t>System allowed duplicate village entry with the same name and did not display any validation error. The form was submitted successfully.</t>
  </si>
  <si>
    <t>Medium</t>
  </si>
  <si>
    <t>BUG-006</t>
  </si>
  <si>
    <t>Account Management / Member Management / Village Management</t>
  </si>
  <si>
    <t>Deleting a volunteer account also deletes associated village data unexpectedly</t>
  </si>
  <si>
    <t xml:space="preserve">1. Open browser and navigate to the login page
2. Login with Account A (Volunteer account)
3. Create a member under Account A in the Member Management module
4. Add a village under Account A in the Village Management module
5. Logout from Account A
6. Login with Account B (Admin account)
7. Navigate to user/account management section
8. Delete Account A (Volunteer account)
9. Check the Village Management module and observe previously added village data
</t>
  </si>
  <si>
    <t>When the admin deletes a volunteer account, only the user account should be removed from the system. Any associated business data such as added villages should remain in the system and either be retained under system ownership, reassigned to another admin, or marked as inactive. No dependent data should be deleted automatically unless explicitly designed.</t>
  </si>
  <si>
    <t>When the admin deletes Account A (Volunteer account), the associated village data created by that account is also deleted from the system. The village entries are no longer available after the account deletion, indicating improper handling of relational or dependent data.</t>
  </si>
  <si>
    <t>BUG-007</t>
  </si>
  <si>
    <t>1. Navigate to Member Management module
2. Click “Add Member”
3. Enter a valid name in Name field
4. Enter a very long phone number (20+ digits) in Phone field
5. Click Submit button
6. Observe the result</t>
  </si>
  <si>
    <t>System should validate phone number length and format. It should show an error message like “Please enter a valid phone number within allowed range” and prevent form submission.</t>
  </si>
  <si>
    <t>System accepted a phone number with 20+ digits without any validation or error message, and the form was submitted successfully with invalid data stored.</t>
  </si>
  <si>
    <t>BUG-008</t>
  </si>
  <si>
    <t>Duplicate member entries allowed without validation</t>
  </si>
  <si>
    <t>1. Navigate to Add Member form
2. Add member with Name: Rahim, Phone: 01700000001 and submit
3. Repeat same data and submit again
4. Try changing name but keeping same phone number and submit
5. Observe the member list</t>
  </si>
  <si>
    <t>System should prevent duplicate member entries based on same name and/or phone number and show validation error like “Member already exists” or “Phone number already registered”.</t>
  </si>
  <si>
    <t>System allowed multiple duplicate entries with same name and phone number without any validation error, and all records were saved successfully.</t>
  </si>
  <si>
    <t>BUG-009</t>
  </si>
  <si>
    <t>User Profile</t>
  </si>
  <si>
    <t>Profile section not clickable and navigation not working</t>
  </si>
  <si>
    <t>1. Login with valid credentials
2. Go to Dashboard page
3. Locate Profile/Account icon in navbar
4. Click on Profile icon
5. Observe system behavior</t>
  </si>
  <si>
    <t>Clicking on the profile icon should navigate to the profile page or open a profile modal showing user details such as name and email.</t>
  </si>
  <si>
    <t>No response occurs on clicking the profile icon. System does not navigate or open any profile page/modal, and user cannot access account details.</t>
  </si>
  <si>
    <t>BUG-010</t>
  </si>
  <si>
    <t>Assign Doctor</t>
  </si>
  <si>
    <t>Doctor assigned without schedule validation</t>
  </si>
  <si>
    <t>1. Navigate to Assign Doctor module
2. Select a hospital from dropdown
3. Select a doctor from dropdown
4. Leave Schedule field empty
5. Click Assign button
6. Observe the result</t>
  </si>
  <si>
    <t>System should validate that Schedule is required and display an error message like “Schedule is required”, preventing form submission.</t>
  </si>
  <si>
    <t>System allowed doctor assignment without entering a schedule and did not show any validation error. The form was submitted successfully.</t>
  </si>
  <si>
    <t>BUG-011</t>
  </si>
  <si>
    <t>Chairman Management</t>
  </si>
  <si>
    <t>Chairman name accepts excessively long input without validation</t>
  </si>
  <si>
    <t>1. Navigate to Chairman Management module
2. Click “Add Chairman”
3. Enter a very long string in the Name field
4. Fill other required fields if any
5. Click Add Chairman
6. Observe the result</t>
  </si>
  <si>
    <t>System should validate input length and either restrict characters or show an error message like “Name too long”, preventing submission.</t>
  </si>
  <si>
    <t>System accepted excessively long input for chairman name without any validation or restriction, resulting in improper data handling.</t>
  </si>
  <si>
    <t>BUG REPORT SUMMARY DASHBOARD</t>
  </si>
  <si>
    <t>By Priority</t>
  </si>
  <si>
    <t>By Module</t>
  </si>
  <si>
    <t>Count</t>
  </si>
  <si>
    <t>Bug Count</t>
  </si>
  <si>
    <t>% Share</t>
  </si>
  <si>
    <t>Authentication</t>
  </si>
  <si>
    <t>Low</t>
  </si>
  <si>
    <t>Total</t>
  </si>
  <si>
    <t>Account 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</si>
</sst>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4">
    <font>
      <sz val="11.0"/>
      <color theme="1"/>
      <name val="Calibri"/>
      <scheme val="minor"/>
    </font>
    <font>
      <sz val="11.0"/>
      <color theme="1"/>
      <name val="Calibri"/>
    </font>
    <font>
      <b/>
      <sz val="28.0"/>
      <color rgb="FFE63946"/>
      <name val="Arial"/>
    </font>
    <font/>
    <font>
      <sz val="14.0"/>
      <color rgb="FFA8DADC"/>
      <name val="Arial"/>
    </font>
    <font>
      <sz val="11.0"/>
      <color rgb="FFE63946"/>
      <name val="Calibri"/>
    </font>
    <font>
      <b/>
      <sz val="11.0"/>
      <color rgb="FFA8DADC"/>
      <name val="Arial"/>
    </font>
    <font>
      <sz val="11.0"/>
      <color rgb="FFFFFFFF"/>
      <name val="Arial"/>
    </font>
    <font>
      <b/>
      <sz val="14.0"/>
      <color rgb="FFFFFFFF"/>
      <name val="Arial"/>
    </font>
    <font>
      <b/>
      <sz val="14.0"/>
      <color theme="0"/>
      <name val="Arial"/>
    </font>
    <font>
      <sz val="14.0"/>
      <color theme="1"/>
      <name val="Calibri"/>
    </font>
    <font>
      <b/>
      <sz val="10.0"/>
      <color rgb="FFE63946"/>
      <name val="Arial"/>
    </font>
    <font>
      <sz val="10.0"/>
      <color theme="1"/>
      <name val="Arial"/>
    </font>
    <font>
      <b/>
      <sz val="11.0"/>
      <color rgb="FF000000"/>
      <name val="Arial"/>
    </font>
    <font>
      <b/>
      <u/>
      <sz val="14.0"/>
      <color rgb="FFCC0000"/>
      <name val="Arial"/>
    </font>
    <font>
      <b/>
      <u/>
      <sz val="14.0"/>
      <color rgb="FFCC0000"/>
      <name val="Arial"/>
    </font>
    <font>
      <b/>
      <sz val="16.0"/>
      <color rgb="FFE63946"/>
      <name val="Arial"/>
    </font>
    <font>
      <b/>
      <sz val="12.0"/>
      <color rgb="FFFFFFFF"/>
      <name val="Arial"/>
    </font>
    <font>
      <b/>
      <sz val="10.0"/>
      <color rgb="FFFFFFFF"/>
      <name val="Arial"/>
    </font>
    <font>
      <b/>
      <sz val="11.0"/>
      <color rgb="FFFF0000"/>
      <name val="Arial"/>
    </font>
    <font>
      <b/>
      <sz val="11.0"/>
      <color rgb="FFFF6B35"/>
      <name val="Arial"/>
    </font>
    <font>
      <b/>
      <sz val="11.0"/>
      <color rgb="FFFFC300"/>
      <name val="Arial"/>
    </font>
    <font>
      <b/>
      <sz val="11.0"/>
      <color rgb="FF28A745"/>
      <name val="Arial"/>
    </font>
    <font>
      <b/>
      <sz val="11.0"/>
      <color theme="1"/>
      <name val="Arial"/>
    </font>
  </fonts>
  <fills count="9">
    <fill>
      <patternFill patternType="none"/>
    </fill>
    <fill>
      <patternFill patternType="lightGray"/>
    </fill>
    <fill>
      <patternFill patternType="solid">
        <fgColor rgb="FF0D1B2A"/>
        <bgColor rgb="FF0D1B2A"/>
      </patternFill>
    </fill>
    <fill>
      <patternFill patternType="solid">
        <fgColor rgb="FF1D3557"/>
        <bgColor rgb="FF1D3557"/>
      </patternFill>
    </fill>
    <fill>
      <patternFill patternType="solid">
        <fgColor rgb="FF152232"/>
        <bgColor rgb="FF152232"/>
      </patternFill>
    </fill>
    <fill>
      <patternFill patternType="solid">
        <fgColor rgb="FFE63946"/>
        <bgColor rgb="FFE63946"/>
      </patternFill>
    </fill>
    <fill>
      <patternFill patternType="solid">
        <fgColor rgb="FFFFF0F0"/>
        <bgColor rgb="FFFFF0F0"/>
      </patternFill>
    </fill>
    <fill>
      <patternFill patternType="solid">
        <fgColor rgb="FFF8F9FA"/>
        <bgColor rgb="FFF8F9FA"/>
      </patternFill>
    </fill>
    <fill>
      <patternFill patternType="solid">
        <fgColor rgb="FFFFFFFF"/>
        <bgColor rgb="FFFFFFFF"/>
      </patternFill>
    </fill>
  </fills>
  <borders count="17">
    <border/>
    <border>
      <left/>
      <right/>
      <top/>
      <bottom/>
    </border>
    <border>
      <left/>
      <top/>
    </border>
    <border>
      <top/>
    </border>
    <border>
      <right/>
      <top/>
    </border>
    <border>
      <left/>
    </border>
    <border>
      <right/>
    </border>
    <border>
      <left/>
      <bottom/>
    </border>
    <border>
      <bottom/>
    </border>
    <border>
      <right/>
      <bottom/>
    </border>
    <border>
      <left/>
      <top/>
      <bottom/>
    </border>
    <border>
      <top/>
      <bottom/>
    </border>
    <border>
      <right/>
      <top/>
      <bottom/>
    </border>
    <border>
      <left style="thin">
        <color rgb="FFC0C0C0"/>
      </left>
      <right style="thin">
        <color rgb="FFC0C0C0"/>
      </right>
      <top style="thin">
        <color rgb="FFC0C0C0"/>
      </top>
      <bottom style="thin">
        <color rgb="FFC0C0C0"/>
      </bottom>
    </border>
    <border>
      <left/>
      <top/>
      <bottom style="thin">
        <color rgb="FFC0C0C0"/>
      </bottom>
    </border>
    <border>
      <right/>
      <top/>
      <bottom style="thin">
        <color rgb="FFC0C0C0"/>
      </bottom>
    </border>
    <border>
      <top/>
      <bottom style="thin">
        <color rgb="FFC0C0C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2" fillId="2" fontId="4" numFmtId="0" xfId="0" applyAlignment="1" applyBorder="1" applyFont="1">
      <alignment horizontal="center" vertical="center"/>
    </xf>
    <xf borderId="10" fillId="2" fontId="5" numFmtId="0" xfId="0" applyAlignment="1" applyBorder="1" applyFont="1">
      <alignment horizontal="center"/>
    </xf>
    <xf borderId="11" fillId="0" fontId="3" numFmtId="0" xfId="0" applyBorder="1" applyFont="1"/>
    <xf borderId="12" fillId="0" fontId="3" numFmtId="0" xfId="0" applyBorder="1" applyFont="1"/>
    <xf borderId="10" fillId="3" fontId="6" numFmtId="0" xfId="0" applyAlignment="1" applyBorder="1" applyFill="1" applyFont="1">
      <alignment horizontal="left" vertical="center"/>
    </xf>
    <xf borderId="10" fillId="4" fontId="7" numFmtId="0" xfId="0" applyAlignment="1" applyBorder="1" applyFill="1" applyFont="1">
      <alignment horizontal="left" vertical="center"/>
    </xf>
    <xf borderId="10" fillId="4" fontId="7" numFmtId="15" xfId="0" applyAlignment="1" applyBorder="1" applyFont="1" applyNumberFormat="1">
      <alignment horizontal="left" vertical="center"/>
    </xf>
    <xf borderId="13" fillId="5" fontId="8" numFmtId="0" xfId="0" applyAlignment="1" applyBorder="1" applyFill="1" applyFont="1">
      <alignment horizontal="center" shrinkToFit="0" vertical="center" wrapText="1"/>
    </xf>
    <xf borderId="13" fillId="5" fontId="9" numFmtId="0" xfId="0" applyAlignment="1" applyBorder="1" applyFont="1">
      <alignment horizontal="center" shrinkToFit="0" vertical="center" wrapText="1"/>
    </xf>
    <xf borderId="0" fillId="0" fontId="10" numFmtId="0" xfId="0" applyFont="1"/>
    <xf borderId="13" fillId="6" fontId="11" numFmtId="0" xfId="0" applyAlignment="1" applyBorder="1" applyFill="1" applyFont="1">
      <alignment horizontal="center" shrinkToFit="0" vertical="center" wrapText="1"/>
    </xf>
    <xf borderId="13" fillId="7" fontId="12" numFmtId="15" xfId="0" applyAlignment="1" applyBorder="1" applyFill="1" applyFont="1" applyNumberFormat="1">
      <alignment horizontal="center" shrinkToFit="0" vertical="center" wrapText="1"/>
    </xf>
    <xf borderId="13" fillId="7" fontId="12" numFmtId="0" xfId="0" applyAlignment="1" applyBorder="1" applyFont="1">
      <alignment shrinkToFit="0" vertical="center" wrapText="1"/>
    </xf>
    <xf borderId="13" fillId="7" fontId="12" numFmtId="0" xfId="0" applyAlignment="1" applyBorder="1" applyFont="1">
      <alignment shrinkToFit="0" vertical="center" wrapText="1"/>
    </xf>
    <xf borderId="13" fillId="8" fontId="13" numFmtId="0" xfId="0" applyAlignment="1" applyBorder="1" applyFill="1" applyFont="1">
      <alignment horizontal="center" vertical="center"/>
    </xf>
    <xf borderId="13" fillId="7" fontId="14" numFmtId="0" xfId="0" applyAlignment="1" applyBorder="1" applyFont="1">
      <alignment horizontal="center" shrinkToFit="0" vertical="center" wrapText="1"/>
    </xf>
    <xf borderId="13" fillId="8" fontId="12" numFmtId="0" xfId="0" applyAlignment="1" applyBorder="1" applyFont="1">
      <alignment horizontal="left" shrinkToFit="0" vertical="center" wrapText="1"/>
    </xf>
    <xf borderId="13" fillId="7" fontId="12" numFmtId="0" xfId="0" applyAlignment="1" applyBorder="1" applyFont="1">
      <alignment horizontal="left" shrinkToFit="0" vertical="center" wrapText="1"/>
    </xf>
    <xf borderId="13" fillId="8" fontId="15" numFmtId="0" xfId="0" applyAlignment="1" applyBorder="1" applyFont="1">
      <alignment horizontal="center" shrinkToFit="0" vertical="center" wrapText="1"/>
    </xf>
    <xf borderId="0" fillId="0" fontId="16" numFmtId="0" xfId="0" applyAlignment="1" applyFont="1">
      <alignment horizontal="center" vertical="center"/>
    </xf>
    <xf borderId="14" fillId="3" fontId="17" numFmtId="0" xfId="0" applyBorder="1" applyFont="1"/>
    <xf borderId="15" fillId="0" fontId="3" numFmtId="0" xfId="0" applyBorder="1" applyFont="1"/>
    <xf borderId="16" fillId="0" fontId="3" numFmtId="0" xfId="0" applyBorder="1" applyFont="1"/>
    <xf borderId="13" fillId="5" fontId="18" numFmtId="0" xfId="0" applyAlignment="1" applyBorder="1" applyFont="1">
      <alignment horizontal="center"/>
    </xf>
    <xf borderId="13" fillId="3" fontId="18" numFmtId="0" xfId="0" applyAlignment="1" applyBorder="1" applyFont="1">
      <alignment horizontal="center"/>
    </xf>
    <xf borderId="13" fillId="0" fontId="19" numFmtId="0" xfId="0" applyBorder="1" applyFont="1"/>
    <xf borderId="13" fillId="0" fontId="1" numFmtId="0" xfId="0" applyAlignment="1" applyBorder="1" applyFont="1">
      <alignment horizontal="center"/>
    </xf>
    <xf borderId="13" fillId="0" fontId="1" numFmtId="0" xfId="0" applyBorder="1" applyFont="1"/>
    <xf borderId="13" fillId="0" fontId="1" numFmtId="164" xfId="0" applyAlignment="1" applyBorder="1" applyFont="1" applyNumberFormat="1">
      <alignment horizontal="center"/>
    </xf>
    <xf borderId="13" fillId="0" fontId="20" numFmtId="0" xfId="0" applyBorder="1" applyFont="1"/>
    <xf borderId="13" fillId="0" fontId="21" numFmtId="0" xfId="0" applyBorder="1" applyFont="1"/>
    <xf borderId="13" fillId="0" fontId="22" numFmtId="0" xfId="0" applyBorder="1" applyFont="1"/>
    <xf borderId="13"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2857500</xdr:colOff>
      <xdr:row>6</xdr:row>
      <xdr:rowOff>1981200</xdr:rowOff>
    </xdr:from>
    <xdr:ext cx="2952750" cy="1000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6092"/>
    <pageSetUpPr/>
  </sheetPr>
  <sheetViews>
    <sheetView workbookViewId="0"/>
  </sheetViews>
  <sheetFormatPr customHeight="1" defaultColWidth="14.43" defaultRowHeight="15.0"/>
  <cols>
    <col customWidth="1" min="1" max="1" width="9.14"/>
    <col customWidth="1" min="2" max="2" width="2.0"/>
    <col customWidth="1" min="3" max="3" width="20.0"/>
    <col customWidth="1" min="4" max="4" width="5.0"/>
    <col customWidth="1" min="5" max="13" width="10.0"/>
    <col customWidth="1" min="14" max="14" width="9.14"/>
    <col customWidth="1" min="15" max="26" width="8.71"/>
  </cols>
  <sheetData>
    <row r="1">
      <c r="A1" s="1"/>
      <c r="B1" s="1"/>
      <c r="C1" s="1"/>
      <c r="D1" s="1"/>
      <c r="E1" s="1"/>
      <c r="F1" s="1"/>
      <c r="G1" s="1"/>
      <c r="H1" s="1"/>
      <c r="I1" s="1"/>
      <c r="J1" s="1"/>
      <c r="K1" s="1"/>
      <c r="L1" s="1"/>
      <c r="M1" s="1"/>
      <c r="N1" s="1"/>
      <c r="O1" s="2"/>
      <c r="P1" s="2"/>
      <c r="Q1" s="2"/>
      <c r="R1" s="2"/>
      <c r="S1" s="2"/>
      <c r="T1" s="2"/>
      <c r="U1" s="2"/>
      <c r="V1" s="2"/>
      <c r="W1" s="2"/>
      <c r="X1" s="2"/>
      <c r="Y1" s="2"/>
      <c r="Z1" s="2"/>
    </row>
    <row r="2">
      <c r="A2" s="1"/>
      <c r="B2" s="1"/>
      <c r="C2" s="1"/>
      <c r="D2" s="1"/>
      <c r="E2" s="1"/>
      <c r="F2" s="1"/>
      <c r="G2" s="1"/>
      <c r="H2" s="1"/>
      <c r="I2" s="1"/>
      <c r="J2" s="1"/>
      <c r="K2" s="1"/>
      <c r="L2" s="1"/>
      <c r="M2" s="1"/>
      <c r="N2" s="1"/>
      <c r="O2" s="2"/>
      <c r="P2" s="2"/>
      <c r="Q2" s="2"/>
      <c r="R2" s="2"/>
      <c r="S2" s="2"/>
      <c r="T2" s="2"/>
      <c r="U2" s="2"/>
      <c r="V2" s="2"/>
      <c r="W2" s="2"/>
      <c r="X2" s="2"/>
      <c r="Y2" s="2"/>
      <c r="Z2" s="2"/>
    </row>
    <row r="3">
      <c r="A3" s="1"/>
      <c r="B3" s="3" t="s">
        <v>0</v>
      </c>
      <c r="C3" s="4"/>
      <c r="D3" s="4"/>
      <c r="E3" s="4"/>
      <c r="F3" s="4"/>
      <c r="G3" s="4"/>
      <c r="H3" s="4"/>
      <c r="I3" s="4"/>
      <c r="J3" s="4"/>
      <c r="K3" s="4"/>
      <c r="L3" s="4"/>
      <c r="M3" s="5"/>
      <c r="N3" s="1"/>
      <c r="O3" s="2"/>
      <c r="P3" s="2"/>
      <c r="Q3" s="2"/>
      <c r="R3" s="2"/>
      <c r="S3" s="2"/>
      <c r="T3" s="2"/>
      <c r="U3" s="2"/>
      <c r="V3" s="2"/>
      <c r="W3" s="2"/>
      <c r="X3" s="2"/>
      <c r="Y3" s="2"/>
      <c r="Z3" s="2"/>
    </row>
    <row r="4">
      <c r="A4" s="1"/>
      <c r="B4" s="6"/>
      <c r="M4" s="7"/>
      <c r="N4" s="1"/>
      <c r="O4" s="2"/>
      <c r="P4" s="2"/>
      <c r="Q4" s="2"/>
      <c r="R4" s="2"/>
      <c r="S4" s="2"/>
      <c r="T4" s="2"/>
      <c r="U4" s="2"/>
      <c r="V4" s="2"/>
      <c r="W4" s="2"/>
      <c r="X4" s="2"/>
      <c r="Y4" s="2"/>
      <c r="Z4" s="2"/>
    </row>
    <row r="5">
      <c r="A5" s="1"/>
      <c r="B5" s="8"/>
      <c r="C5" s="9"/>
      <c r="D5" s="9"/>
      <c r="E5" s="9"/>
      <c r="F5" s="9"/>
      <c r="G5" s="9"/>
      <c r="H5" s="9"/>
      <c r="I5" s="9"/>
      <c r="J5" s="9"/>
      <c r="K5" s="9"/>
      <c r="L5" s="9"/>
      <c r="M5" s="10"/>
      <c r="N5" s="1"/>
      <c r="O5" s="2"/>
      <c r="P5" s="2"/>
      <c r="Q5" s="2"/>
      <c r="R5" s="2"/>
      <c r="S5" s="2"/>
      <c r="T5" s="2"/>
      <c r="U5" s="2"/>
      <c r="V5" s="2"/>
      <c r="W5" s="2"/>
      <c r="X5" s="2"/>
      <c r="Y5" s="2"/>
      <c r="Z5" s="2"/>
    </row>
    <row r="6">
      <c r="A6" s="1"/>
      <c r="B6" s="11" t="s">
        <v>1</v>
      </c>
      <c r="C6" s="4"/>
      <c r="D6" s="4"/>
      <c r="E6" s="4"/>
      <c r="F6" s="4"/>
      <c r="G6" s="4"/>
      <c r="H6" s="4"/>
      <c r="I6" s="4"/>
      <c r="J6" s="4"/>
      <c r="K6" s="4"/>
      <c r="L6" s="4"/>
      <c r="M6" s="5"/>
      <c r="N6" s="1"/>
      <c r="O6" s="2"/>
      <c r="P6" s="2"/>
      <c r="Q6" s="2"/>
      <c r="R6" s="2"/>
      <c r="S6" s="2"/>
      <c r="T6" s="2"/>
      <c r="U6" s="2"/>
      <c r="V6" s="2"/>
      <c r="W6" s="2"/>
      <c r="X6" s="2"/>
      <c r="Y6" s="2"/>
      <c r="Z6" s="2"/>
    </row>
    <row r="7">
      <c r="A7" s="1"/>
      <c r="B7" s="8"/>
      <c r="C7" s="9"/>
      <c r="D7" s="9"/>
      <c r="E7" s="9"/>
      <c r="F7" s="9"/>
      <c r="G7" s="9"/>
      <c r="H7" s="9"/>
      <c r="I7" s="9"/>
      <c r="J7" s="9"/>
      <c r="K7" s="9"/>
      <c r="L7" s="9"/>
      <c r="M7" s="10"/>
      <c r="N7" s="1"/>
      <c r="O7" s="2"/>
      <c r="P7" s="2"/>
      <c r="Q7" s="2"/>
      <c r="R7" s="2"/>
      <c r="S7" s="2"/>
      <c r="T7" s="2"/>
      <c r="U7" s="2"/>
      <c r="V7" s="2"/>
      <c r="W7" s="2"/>
      <c r="X7" s="2"/>
      <c r="Y7" s="2"/>
      <c r="Z7" s="2"/>
    </row>
    <row r="8">
      <c r="A8" s="1"/>
      <c r="B8" s="1"/>
      <c r="C8" s="1"/>
      <c r="D8" s="1"/>
      <c r="E8" s="1"/>
      <c r="F8" s="1"/>
      <c r="G8" s="1"/>
      <c r="H8" s="1"/>
      <c r="I8" s="1"/>
      <c r="J8" s="1"/>
      <c r="K8" s="1"/>
      <c r="L8" s="1"/>
      <c r="M8" s="1"/>
      <c r="N8" s="1"/>
      <c r="O8" s="2"/>
      <c r="P8" s="2"/>
      <c r="Q8" s="2"/>
      <c r="R8" s="2"/>
      <c r="S8" s="2"/>
      <c r="T8" s="2"/>
      <c r="U8" s="2"/>
      <c r="V8" s="2"/>
      <c r="W8" s="2"/>
      <c r="X8" s="2"/>
      <c r="Y8" s="2"/>
      <c r="Z8" s="2"/>
    </row>
    <row r="9">
      <c r="A9" s="1"/>
      <c r="B9" s="12" t="s">
        <v>2</v>
      </c>
      <c r="C9" s="13"/>
      <c r="D9" s="13"/>
      <c r="E9" s="13"/>
      <c r="F9" s="13"/>
      <c r="G9" s="13"/>
      <c r="H9" s="13"/>
      <c r="I9" s="13"/>
      <c r="J9" s="13"/>
      <c r="K9" s="13"/>
      <c r="L9" s="13"/>
      <c r="M9" s="14"/>
      <c r="N9" s="1"/>
      <c r="O9" s="2"/>
      <c r="P9" s="2"/>
      <c r="Q9" s="2"/>
      <c r="R9" s="2"/>
      <c r="S9" s="2"/>
      <c r="T9" s="2"/>
      <c r="U9" s="2"/>
      <c r="V9" s="2"/>
      <c r="W9" s="2"/>
      <c r="X9" s="2"/>
      <c r="Y9" s="2"/>
      <c r="Z9" s="2"/>
    </row>
    <row r="10">
      <c r="A10" s="1"/>
      <c r="B10" s="1"/>
      <c r="C10" s="1"/>
      <c r="D10" s="1"/>
      <c r="E10" s="1"/>
      <c r="F10" s="1"/>
      <c r="G10" s="1"/>
      <c r="H10" s="1"/>
      <c r="I10" s="1"/>
      <c r="J10" s="1"/>
      <c r="K10" s="1"/>
      <c r="L10" s="1"/>
      <c r="M10" s="1"/>
      <c r="N10" s="1"/>
      <c r="O10" s="2"/>
      <c r="P10" s="2"/>
      <c r="Q10" s="2"/>
      <c r="R10" s="2"/>
      <c r="S10" s="2"/>
      <c r="T10" s="2"/>
      <c r="U10" s="2"/>
      <c r="V10" s="2"/>
      <c r="W10" s="2"/>
      <c r="X10" s="2"/>
      <c r="Y10" s="2"/>
      <c r="Z10" s="2"/>
    </row>
    <row r="11" ht="21.75" customHeight="1">
      <c r="A11" s="1"/>
      <c r="B11" s="1"/>
      <c r="C11" s="15" t="s">
        <v>3</v>
      </c>
      <c r="D11" s="14"/>
      <c r="E11" s="16" t="s">
        <v>4</v>
      </c>
      <c r="F11" s="13"/>
      <c r="G11" s="13"/>
      <c r="H11" s="13"/>
      <c r="I11" s="13"/>
      <c r="J11" s="13"/>
      <c r="K11" s="13"/>
      <c r="L11" s="13"/>
      <c r="M11" s="14"/>
      <c r="N11" s="1"/>
      <c r="O11" s="2"/>
      <c r="P11" s="2"/>
      <c r="Q11" s="2"/>
      <c r="R11" s="2"/>
      <c r="S11" s="2"/>
      <c r="T11" s="2"/>
      <c r="U11" s="2"/>
      <c r="V11" s="2"/>
      <c r="W11" s="2"/>
      <c r="X11" s="2"/>
      <c r="Y11" s="2"/>
      <c r="Z11" s="2"/>
    </row>
    <row r="12">
      <c r="A12" s="1" t="s">
        <v>5</v>
      </c>
      <c r="B12" s="1"/>
      <c r="C12" s="1"/>
      <c r="D12" s="1"/>
      <c r="E12" s="1"/>
      <c r="F12" s="1"/>
      <c r="G12" s="1"/>
      <c r="H12" s="1"/>
      <c r="I12" s="1"/>
      <c r="J12" s="1"/>
      <c r="K12" s="1"/>
      <c r="L12" s="1"/>
      <c r="M12" s="1"/>
      <c r="N12" s="1"/>
      <c r="O12" s="2"/>
      <c r="P12" s="2"/>
      <c r="Q12" s="2"/>
      <c r="R12" s="2"/>
      <c r="S12" s="2"/>
      <c r="T12" s="2"/>
      <c r="U12" s="2"/>
      <c r="V12" s="2"/>
      <c r="W12" s="2"/>
      <c r="X12" s="2"/>
      <c r="Y12" s="2"/>
      <c r="Z12" s="2"/>
    </row>
    <row r="13" ht="21.75" customHeight="1">
      <c r="A13" s="1"/>
      <c r="B13" s="1"/>
      <c r="C13" s="15" t="s">
        <v>6</v>
      </c>
      <c r="D13" s="14"/>
      <c r="E13" s="16" t="s">
        <v>7</v>
      </c>
      <c r="F13" s="13"/>
      <c r="G13" s="13"/>
      <c r="H13" s="13"/>
      <c r="I13" s="13"/>
      <c r="J13" s="13"/>
      <c r="K13" s="13"/>
      <c r="L13" s="13"/>
      <c r="M13" s="14"/>
      <c r="N13" s="1"/>
      <c r="O13" s="2"/>
      <c r="P13" s="2"/>
      <c r="Q13" s="2"/>
      <c r="R13" s="2"/>
      <c r="S13" s="2"/>
      <c r="T13" s="2"/>
      <c r="U13" s="2"/>
      <c r="V13" s="2"/>
      <c r="W13" s="2"/>
      <c r="X13" s="2"/>
      <c r="Y13" s="2"/>
      <c r="Z13" s="2"/>
    </row>
    <row r="14">
      <c r="A14" s="1"/>
      <c r="B14" s="1"/>
      <c r="C14" s="1"/>
      <c r="D14" s="1"/>
      <c r="E14" s="1"/>
      <c r="F14" s="1"/>
      <c r="G14" s="1"/>
      <c r="H14" s="1"/>
      <c r="I14" s="1"/>
      <c r="J14" s="1"/>
      <c r="K14" s="1"/>
      <c r="L14" s="1"/>
      <c r="M14" s="1"/>
      <c r="N14" s="1"/>
      <c r="O14" s="2"/>
      <c r="P14" s="2"/>
      <c r="Q14" s="2"/>
      <c r="R14" s="2"/>
      <c r="S14" s="2"/>
      <c r="T14" s="2"/>
      <c r="U14" s="2"/>
      <c r="V14" s="2"/>
      <c r="W14" s="2"/>
      <c r="X14" s="2"/>
      <c r="Y14" s="2"/>
      <c r="Z14" s="2"/>
    </row>
    <row r="15" ht="21.75" customHeight="1">
      <c r="A15" s="1"/>
      <c r="B15" s="1"/>
      <c r="C15" s="15" t="s">
        <v>8</v>
      </c>
      <c r="D15" s="14"/>
      <c r="E15" s="16" t="s">
        <v>9</v>
      </c>
      <c r="F15" s="13"/>
      <c r="G15" s="13"/>
      <c r="H15" s="13"/>
      <c r="I15" s="13"/>
      <c r="J15" s="13"/>
      <c r="K15" s="13"/>
      <c r="L15" s="13"/>
      <c r="M15" s="14"/>
      <c r="N15" s="1"/>
      <c r="O15" s="2"/>
      <c r="P15" s="2"/>
      <c r="Q15" s="2"/>
      <c r="R15" s="2"/>
      <c r="S15" s="2"/>
      <c r="T15" s="2"/>
      <c r="U15" s="2"/>
      <c r="V15" s="2"/>
      <c r="W15" s="2"/>
      <c r="X15" s="2"/>
      <c r="Y15" s="2"/>
      <c r="Z15" s="2"/>
    </row>
    <row r="16">
      <c r="A16" s="1"/>
      <c r="B16" s="1"/>
      <c r="C16" s="1"/>
      <c r="D16" s="1"/>
      <c r="E16" s="1"/>
      <c r="F16" s="1"/>
      <c r="G16" s="1"/>
      <c r="H16" s="1"/>
      <c r="I16" s="1"/>
      <c r="J16" s="1"/>
      <c r="K16" s="1"/>
      <c r="L16" s="1"/>
      <c r="M16" s="1"/>
      <c r="N16" s="1"/>
      <c r="O16" s="2"/>
      <c r="P16" s="2"/>
      <c r="Q16" s="2"/>
      <c r="R16" s="2"/>
      <c r="S16" s="2"/>
      <c r="T16" s="2"/>
      <c r="U16" s="2"/>
      <c r="V16" s="2"/>
      <c r="W16" s="2"/>
      <c r="X16" s="2"/>
      <c r="Y16" s="2"/>
      <c r="Z16" s="2"/>
    </row>
    <row r="17" ht="21.75" customHeight="1">
      <c r="A17" s="1"/>
      <c r="B17" s="1"/>
      <c r="C17" s="15" t="s">
        <v>10</v>
      </c>
      <c r="D17" s="14"/>
      <c r="E17" s="17">
        <v>46135.0</v>
      </c>
      <c r="F17" s="13"/>
      <c r="G17" s="13"/>
      <c r="H17" s="13"/>
      <c r="I17" s="13"/>
      <c r="J17" s="13"/>
      <c r="K17" s="13"/>
      <c r="L17" s="13"/>
      <c r="M17" s="14"/>
      <c r="N17" s="1"/>
      <c r="O17" s="2"/>
      <c r="P17" s="2"/>
      <c r="Q17" s="2"/>
      <c r="R17" s="2"/>
      <c r="S17" s="2"/>
      <c r="T17" s="2"/>
      <c r="U17" s="2"/>
      <c r="V17" s="2"/>
      <c r="W17" s="2"/>
      <c r="X17" s="2"/>
      <c r="Y17" s="2"/>
      <c r="Z17" s="2"/>
    </row>
    <row r="18">
      <c r="A18" s="1"/>
      <c r="B18" s="1"/>
      <c r="C18" s="1"/>
      <c r="D18" s="1"/>
      <c r="E18" s="1"/>
      <c r="F18" s="1"/>
      <c r="G18" s="1"/>
      <c r="H18" s="1"/>
      <c r="I18" s="1"/>
      <c r="J18" s="1"/>
      <c r="K18" s="1"/>
      <c r="L18" s="1"/>
      <c r="M18" s="1"/>
      <c r="N18" s="1"/>
      <c r="O18" s="2"/>
      <c r="P18" s="2"/>
      <c r="Q18" s="2"/>
      <c r="R18" s="2"/>
      <c r="S18" s="2"/>
      <c r="T18" s="2"/>
      <c r="U18" s="2"/>
      <c r="V18" s="2"/>
      <c r="W18" s="2"/>
      <c r="X18" s="2"/>
      <c r="Y18" s="2"/>
      <c r="Z18" s="2"/>
    </row>
    <row r="19" ht="21.75" customHeight="1">
      <c r="A19" s="1"/>
      <c r="B19" s="1"/>
      <c r="C19" s="15" t="s">
        <v>11</v>
      </c>
      <c r="D19" s="14"/>
      <c r="E19" s="16" t="s">
        <v>12</v>
      </c>
      <c r="F19" s="13"/>
      <c r="G19" s="13"/>
      <c r="H19" s="13"/>
      <c r="I19" s="13"/>
      <c r="J19" s="13"/>
      <c r="K19" s="13"/>
      <c r="L19" s="13"/>
      <c r="M19" s="14"/>
      <c r="N19" s="1"/>
      <c r="O19" s="2"/>
      <c r="P19" s="2"/>
      <c r="Q19" s="2"/>
      <c r="R19" s="2"/>
      <c r="S19" s="2"/>
      <c r="T19" s="2"/>
      <c r="U19" s="2"/>
      <c r="V19" s="2"/>
      <c r="W19" s="2"/>
      <c r="X19" s="2"/>
      <c r="Y19" s="2"/>
      <c r="Z19" s="2"/>
    </row>
    <row r="20">
      <c r="A20" s="1"/>
      <c r="B20" s="1"/>
      <c r="C20" s="1"/>
      <c r="D20" s="1"/>
      <c r="E20" s="1"/>
      <c r="F20" s="1"/>
      <c r="G20" s="1"/>
      <c r="H20" s="1"/>
      <c r="I20" s="1"/>
      <c r="J20" s="1"/>
      <c r="K20" s="1"/>
      <c r="L20" s="1"/>
      <c r="M20" s="1"/>
      <c r="N20" s="1"/>
      <c r="O20" s="2"/>
      <c r="P20" s="2"/>
      <c r="Q20" s="2"/>
      <c r="R20" s="2"/>
      <c r="S20" s="2"/>
      <c r="T20" s="2"/>
      <c r="U20" s="2"/>
      <c r="V20" s="2"/>
      <c r="W20" s="2"/>
      <c r="X20" s="2"/>
      <c r="Y20" s="2"/>
      <c r="Z20" s="2"/>
    </row>
    <row r="21" ht="21.75" customHeight="1">
      <c r="A21" s="1"/>
      <c r="B21" s="1"/>
      <c r="C21" s="15" t="s">
        <v>13</v>
      </c>
      <c r="D21" s="14"/>
      <c r="E21" s="16">
        <v>11.0</v>
      </c>
      <c r="F21" s="13"/>
      <c r="G21" s="13"/>
      <c r="H21" s="13"/>
      <c r="I21" s="13"/>
      <c r="J21" s="13"/>
      <c r="K21" s="13"/>
      <c r="L21" s="13"/>
      <c r="M21" s="14"/>
      <c r="N21" s="1"/>
      <c r="O21" s="2"/>
      <c r="P21" s="2"/>
      <c r="Q21" s="2"/>
      <c r="R21" s="2"/>
      <c r="S21" s="2"/>
      <c r="T21" s="2"/>
      <c r="U21" s="2"/>
      <c r="V21" s="2"/>
      <c r="W21" s="2"/>
      <c r="X21" s="2"/>
      <c r="Y21" s="2"/>
      <c r="Z21" s="2"/>
    </row>
    <row r="22" ht="15.75" customHeight="1">
      <c r="A22" s="1"/>
      <c r="B22" s="1"/>
      <c r="C22" s="1"/>
      <c r="D22" s="1"/>
      <c r="E22" s="1"/>
      <c r="F22" s="1"/>
      <c r="G22" s="1"/>
      <c r="H22" s="1"/>
      <c r="I22" s="1"/>
      <c r="J22" s="1"/>
      <c r="K22" s="1"/>
      <c r="L22" s="1"/>
      <c r="M22" s="1"/>
      <c r="N22" s="1"/>
      <c r="O22" s="2"/>
      <c r="P22" s="2"/>
      <c r="Q22" s="2"/>
      <c r="R22" s="2"/>
      <c r="S22" s="2"/>
      <c r="T22" s="2"/>
      <c r="U22" s="2"/>
      <c r="V22" s="2"/>
      <c r="W22" s="2"/>
      <c r="X22" s="2"/>
      <c r="Y22" s="2"/>
      <c r="Z22" s="2"/>
    </row>
    <row r="23" ht="15.75" customHeight="1">
      <c r="A23" s="1"/>
      <c r="B23" s="1"/>
      <c r="C23" s="1"/>
      <c r="D23" s="1"/>
      <c r="E23" s="1"/>
      <c r="F23" s="1"/>
      <c r="G23" s="1"/>
      <c r="H23" s="1"/>
      <c r="I23" s="1"/>
      <c r="J23" s="1"/>
      <c r="K23" s="1"/>
      <c r="L23" s="1"/>
      <c r="M23" s="1"/>
      <c r="N23" s="1"/>
      <c r="O23" s="2"/>
      <c r="P23" s="2"/>
      <c r="Q23" s="2"/>
      <c r="R23" s="2"/>
      <c r="S23" s="2"/>
      <c r="T23" s="2"/>
      <c r="U23" s="2"/>
      <c r="V23" s="2"/>
      <c r="W23" s="2"/>
      <c r="X23" s="2"/>
      <c r="Y23" s="2"/>
      <c r="Z23" s="2"/>
    </row>
    <row r="24" ht="15.75" customHeight="1">
      <c r="A24" s="1"/>
      <c r="B24" s="1"/>
      <c r="C24" s="1"/>
      <c r="D24" s="1"/>
      <c r="E24" s="1"/>
      <c r="F24" s="1"/>
      <c r="G24" s="1"/>
      <c r="H24" s="1"/>
      <c r="I24" s="1"/>
      <c r="J24" s="1"/>
      <c r="K24" s="1"/>
      <c r="L24" s="1"/>
      <c r="M24" s="1"/>
      <c r="N24" s="1"/>
      <c r="O24" s="2"/>
      <c r="P24" s="2"/>
      <c r="Q24" s="2"/>
      <c r="R24" s="2"/>
      <c r="S24" s="2"/>
      <c r="T24" s="2"/>
      <c r="U24" s="2"/>
      <c r="V24" s="2"/>
      <c r="W24" s="2"/>
      <c r="X24" s="2"/>
      <c r="Y24" s="2"/>
      <c r="Z24" s="2"/>
    </row>
    <row r="25" ht="15.75" customHeight="1">
      <c r="A25" s="1"/>
      <c r="B25" s="1"/>
      <c r="C25" s="1"/>
      <c r="D25" s="1"/>
      <c r="E25" s="1"/>
      <c r="F25" s="1"/>
      <c r="G25" s="1"/>
      <c r="H25" s="1"/>
      <c r="I25" s="1"/>
      <c r="J25" s="1"/>
      <c r="K25" s="1"/>
      <c r="L25" s="1"/>
      <c r="M25" s="1"/>
      <c r="N25" s="1"/>
      <c r="O25" s="2"/>
      <c r="P25" s="2"/>
      <c r="Q25" s="2"/>
      <c r="R25" s="2"/>
      <c r="S25" s="2"/>
      <c r="T25" s="2"/>
      <c r="U25" s="2"/>
      <c r="V25" s="2"/>
      <c r="W25" s="2"/>
      <c r="X25" s="2"/>
      <c r="Y25" s="2"/>
      <c r="Z25" s="2"/>
    </row>
    <row r="26" ht="15.75" customHeight="1">
      <c r="A26" s="1"/>
      <c r="B26" s="1"/>
      <c r="C26" s="1"/>
      <c r="D26" s="1"/>
      <c r="E26" s="1"/>
      <c r="F26" s="1"/>
      <c r="G26" s="1"/>
      <c r="H26" s="1"/>
      <c r="I26" s="1"/>
      <c r="J26" s="1"/>
      <c r="K26" s="1"/>
      <c r="L26" s="1"/>
      <c r="M26" s="1"/>
      <c r="N26" s="1"/>
      <c r="O26" s="2"/>
      <c r="P26" s="2"/>
      <c r="Q26" s="2"/>
      <c r="R26" s="2"/>
      <c r="S26" s="2"/>
      <c r="T26" s="2"/>
      <c r="U26" s="2"/>
      <c r="V26" s="2"/>
      <c r="W26" s="2"/>
      <c r="X26" s="2"/>
      <c r="Y26" s="2"/>
      <c r="Z26" s="2"/>
    </row>
    <row r="27" ht="15.75" customHeight="1">
      <c r="A27" s="1"/>
      <c r="B27" s="1"/>
      <c r="C27" s="1"/>
      <c r="D27" s="1"/>
      <c r="E27" s="1"/>
      <c r="F27" s="1"/>
      <c r="G27" s="1"/>
      <c r="H27" s="1"/>
      <c r="I27" s="1"/>
      <c r="J27" s="1"/>
      <c r="K27" s="1"/>
      <c r="L27" s="1"/>
      <c r="M27" s="1"/>
      <c r="N27" s="1"/>
      <c r="O27" s="2"/>
      <c r="P27" s="2"/>
      <c r="Q27" s="2"/>
      <c r="R27" s="2"/>
      <c r="S27" s="2"/>
      <c r="T27" s="2"/>
      <c r="U27" s="2"/>
      <c r="V27" s="2"/>
      <c r="W27" s="2"/>
      <c r="X27" s="2"/>
      <c r="Y27" s="2"/>
      <c r="Z27" s="2"/>
    </row>
    <row r="28" ht="15.75" customHeight="1">
      <c r="A28" s="1"/>
      <c r="B28" s="1"/>
      <c r="C28" s="1"/>
      <c r="D28" s="1"/>
      <c r="E28" s="1"/>
      <c r="F28" s="1"/>
      <c r="G28" s="1"/>
      <c r="H28" s="1"/>
      <c r="I28" s="1"/>
      <c r="J28" s="1"/>
      <c r="K28" s="1"/>
      <c r="L28" s="1"/>
      <c r="M28" s="1"/>
      <c r="N28" s="1"/>
      <c r="O28" s="2"/>
      <c r="P28" s="2"/>
      <c r="Q28" s="2"/>
      <c r="R28" s="2"/>
      <c r="S28" s="2"/>
      <c r="T28" s="2"/>
      <c r="U28" s="2"/>
      <c r="V28" s="2"/>
      <c r="W28" s="2"/>
      <c r="X28" s="2"/>
      <c r="Y28" s="2"/>
      <c r="Z28" s="2"/>
    </row>
    <row r="29" ht="15.75" customHeight="1">
      <c r="A29" s="1"/>
      <c r="B29" s="1"/>
      <c r="C29" s="1"/>
      <c r="D29" s="1"/>
      <c r="E29" s="1"/>
      <c r="F29" s="1"/>
      <c r="G29" s="1"/>
      <c r="H29" s="1"/>
      <c r="I29" s="1"/>
      <c r="J29" s="1"/>
      <c r="K29" s="1"/>
      <c r="L29" s="1"/>
      <c r="M29" s="1"/>
      <c r="N29" s="1"/>
      <c r="O29" s="2"/>
      <c r="P29" s="2"/>
      <c r="Q29" s="2"/>
      <c r="R29" s="2"/>
      <c r="S29" s="2"/>
      <c r="T29" s="2"/>
      <c r="U29" s="2"/>
      <c r="V29" s="2"/>
      <c r="W29" s="2"/>
      <c r="X29" s="2"/>
      <c r="Y29" s="2"/>
      <c r="Z29" s="2"/>
    </row>
    <row r="30" ht="15.75" customHeight="1">
      <c r="A30" s="1"/>
      <c r="B30" s="1"/>
      <c r="C30" s="1"/>
      <c r="D30" s="1"/>
      <c r="E30" s="1"/>
      <c r="F30" s="1"/>
      <c r="G30" s="1"/>
      <c r="H30" s="1"/>
      <c r="I30" s="1"/>
      <c r="J30" s="1"/>
      <c r="K30" s="1"/>
      <c r="L30" s="1"/>
      <c r="M30" s="1"/>
      <c r="N30" s="1"/>
      <c r="O30" s="2"/>
      <c r="P30" s="2"/>
      <c r="Q30" s="2"/>
      <c r="R30" s="2"/>
      <c r="S30" s="2"/>
      <c r="T30" s="2"/>
      <c r="U30" s="2"/>
      <c r="V30" s="2"/>
      <c r="W30" s="2"/>
      <c r="X30" s="2"/>
      <c r="Y30" s="2"/>
      <c r="Z30" s="2"/>
    </row>
    <row r="31" ht="15.75" customHeight="1">
      <c r="A31" s="1"/>
      <c r="B31" s="1"/>
      <c r="C31" s="1"/>
      <c r="D31" s="1"/>
      <c r="E31" s="1"/>
      <c r="F31" s="1"/>
      <c r="G31" s="1"/>
      <c r="H31" s="1"/>
      <c r="I31" s="1"/>
      <c r="J31" s="1"/>
      <c r="K31" s="1"/>
      <c r="L31" s="1"/>
      <c r="M31" s="1"/>
      <c r="N31" s="1"/>
      <c r="O31" s="2"/>
      <c r="P31" s="2"/>
      <c r="Q31" s="2"/>
      <c r="R31" s="2"/>
      <c r="S31" s="2"/>
      <c r="T31" s="2"/>
      <c r="U31" s="2"/>
      <c r="V31" s="2"/>
      <c r="W31" s="2"/>
      <c r="X31" s="2"/>
      <c r="Y31" s="2"/>
      <c r="Z31" s="2"/>
    </row>
    <row r="32" ht="15.75" customHeight="1">
      <c r="A32" s="1"/>
      <c r="B32" s="1"/>
      <c r="C32" s="1"/>
      <c r="D32" s="1"/>
      <c r="E32" s="1"/>
      <c r="F32" s="1"/>
      <c r="G32" s="1"/>
      <c r="H32" s="1"/>
      <c r="I32" s="1"/>
      <c r="J32" s="1"/>
      <c r="K32" s="1"/>
      <c r="L32" s="1"/>
      <c r="M32" s="1"/>
      <c r="N32" s="1"/>
      <c r="O32" s="2"/>
      <c r="P32" s="2"/>
      <c r="Q32" s="2"/>
      <c r="R32" s="2"/>
      <c r="S32" s="2"/>
      <c r="T32" s="2"/>
      <c r="U32" s="2"/>
      <c r="V32" s="2"/>
      <c r="W32" s="2"/>
      <c r="X32" s="2"/>
      <c r="Y32" s="2"/>
      <c r="Z32" s="2"/>
    </row>
    <row r="33" ht="15.75" customHeight="1">
      <c r="A33" s="1"/>
      <c r="B33" s="1"/>
      <c r="C33" s="1"/>
      <c r="D33" s="1"/>
      <c r="E33" s="1"/>
      <c r="F33" s="1"/>
      <c r="G33" s="1"/>
      <c r="H33" s="1"/>
      <c r="I33" s="1"/>
      <c r="J33" s="1"/>
      <c r="K33" s="1"/>
      <c r="L33" s="1"/>
      <c r="M33" s="1"/>
      <c r="N33" s="1"/>
      <c r="O33" s="2"/>
      <c r="P33" s="2"/>
      <c r="Q33" s="2"/>
      <c r="R33" s="2"/>
      <c r="S33" s="2"/>
      <c r="T33" s="2"/>
      <c r="U33" s="2"/>
      <c r="V33" s="2"/>
      <c r="W33" s="2"/>
      <c r="X33" s="2"/>
      <c r="Y33" s="2"/>
      <c r="Z33" s="2"/>
    </row>
    <row r="34" ht="15.75" customHeight="1">
      <c r="A34" s="1"/>
      <c r="B34" s="1"/>
      <c r="C34" s="1"/>
      <c r="D34" s="1"/>
      <c r="E34" s="1"/>
      <c r="F34" s="1"/>
      <c r="G34" s="1"/>
      <c r="H34" s="1"/>
      <c r="I34" s="1"/>
      <c r="J34" s="1"/>
      <c r="K34" s="1"/>
      <c r="L34" s="1"/>
      <c r="M34" s="1"/>
      <c r="N34" s="1"/>
      <c r="O34" s="2"/>
      <c r="P34" s="2"/>
      <c r="Q34" s="2"/>
      <c r="R34" s="2"/>
      <c r="S34" s="2"/>
      <c r="T34" s="2"/>
      <c r="U34" s="2"/>
      <c r="V34" s="2"/>
      <c r="W34" s="2"/>
      <c r="X34" s="2"/>
      <c r="Y34" s="2"/>
      <c r="Z34" s="2"/>
    </row>
    <row r="35" ht="15.75" customHeight="1">
      <c r="A35" s="1"/>
      <c r="B35" s="1"/>
      <c r="C35" s="1"/>
      <c r="D35" s="1"/>
      <c r="E35" s="1"/>
      <c r="F35" s="1"/>
      <c r="G35" s="1"/>
      <c r="H35" s="1"/>
      <c r="I35" s="1"/>
      <c r="J35" s="1"/>
      <c r="K35" s="1"/>
      <c r="L35" s="1"/>
      <c r="M35" s="1"/>
      <c r="N35" s="1"/>
      <c r="O35" s="2"/>
      <c r="P35" s="2"/>
      <c r="Q35" s="2"/>
      <c r="R35" s="2"/>
      <c r="S35" s="2"/>
      <c r="T35" s="2"/>
      <c r="U35" s="2"/>
      <c r="V35" s="2"/>
      <c r="W35" s="2"/>
      <c r="X35" s="2"/>
      <c r="Y35" s="2"/>
      <c r="Z35" s="2"/>
    </row>
    <row r="36" ht="15.75" customHeight="1">
      <c r="A36" s="1"/>
      <c r="B36" s="1"/>
      <c r="C36" s="1"/>
      <c r="D36" s="1"/>
      <c r="E36" s="1"/>
      <c r="F36" s="1"/>
      <c r="G36" s="1"/>
      <c r="H36" s="1"/>
      <c r="I36" s="1"/>
      <c r="J36" s="1"/>
      <c r="K36" s="1"/>
      <c r="L36" s="1"/>
      <c r="M36" s="1"/>
      <c r="N36" s="1"/>
      <c r="O36" s="2"/>
      <c r="P36" s="2"/>
      <c r="Q36" s="2"/>
      <c r="R36" s="2"/>
      <c r="S36" s="2"/>
      <c r="T36" s="2"/>
      <c r="U36" s="2"/>
      <c r="V36" s="2"/>
      <c r="W36" s="2"/>
      <c r="X36" s="2"/>
      <c r="Y36" s="2"/>
      <c r="Z36" s="2"/>
    </row>
    <row r="37" ht="15.75" customHeight="1">
      <c r="A37" s="1"/>
      <c r="B37" s="1"/>
      <c r="C37" s="1"/>
      <c r="D37" s="1"/>
      <c r="E37" s="1"/>
      <c r="F37" s="1"/>
      <c r="G37" s="1"/>
      <c r="H37" s="1"/>
      <c r="I37" s="1"/>
      <c r="J37" s="1"/>
      <c r="K37" s="1"/>
      <c r="L37" s="1"/>
      <c r="M37" s="1"/>
      <c r="N37" s="1"/>
      <c r="O37" s="2"/>
      <c r="P37" s="2"/>
      <c r="Q37" s="2"/>
      <c r="R37" s="2"/>
      <c r="S37" s="2"/>
      <c r="T37" s="2"/>
      <c r="U37" s="2"/>
      <c r="V37" s="2"/>
      <c r="W37" s="2"/>
      <c r="X37" s="2"/>
      <c r="Y37" s="2"/>
      <c r="Z37" s="2"/>
    </row>
    <row r="38" ht="15.75" customHeight="1">
      <c r="A38" s="1"/>
      <c r="B38" s="1"/>
      <c r="C38" s="1"/>
      <c r="D38" s="1"/>
      <c r="E38" s="1"/>
      <c r="F38" s="1"/>
      <c r="G38" s="1"/>
      <c r="H38" s="1"/>
      <c r="I38" s="1"/>
      <c r="J38" s="1"/>
      <c r="K38" s="1"/>
      <c r="L38" s="1"/>
      <c r="M38" s="1"/>
      <c r="N38" s="1"/>
      <c r="O38" s="2"/>
      <c r="P38" s="2"/>
      <c r="Q38" s="2"/>
      <c r="R38" s="2"/>
      <c r="S38" s="2"/>
      <c r="T38" s="2"/>
      <c r="U38" s="2"/>
      <c r="V38" s="2"/>
      <c r="W38" s="2"/>
      <c r="X38" s="2"/>
      <c r="Y38" s="2"/>
      <c r="Z38" s="2"/>
    </row>
    <row r="39" ht="15.75" customHeight="1">
      <c r="A39" s="1"/>
      <c r="B39" s="1"/>
      <c r="C39" s="1"/>
      <c r="D39" s="1"/>
      <c r="E39" s="1"/>
      <c r="F39" s="1"/>
      <c r="G39" s="1"/>
      <c r="H39" s="1"/>
      <c r="I39" s="1"/>
      <c r="J39" s="1"/>
      <c r="K39" s="1"/>
      <c r="L39" s="1"/>
      <c r="M39" s="1"/>
      <c r="N39" s="1"/>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C15:D15"/>
    <mergeCell ref="E15:M15"/>
    <mergeCell ref="C17:D17"/>
    <mergeCell ref="E17:M17"/>
    <mergeCell ref="C19:D19"/>
    <mergeCell ref="E19:M19"/>
    <mergeCell ref="C21:D21"/>
    <mergeCell ref="E21:M21"/>
    <mergeCell ref="B3:M5"/>
    <mergeCell ref="B6:M7"/>
    <mergeCell ref="B9:M9"/>
    <mergeCell ref="C11:D11"/>
    <mergeCell ref="E11:M11"/>
    <mergeCell ref="C13:D13"/>
    <mergeCell ref="E13:M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394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45.0"/>
    <col customWidth="1" min="3" max="3" width="18.0"/>
    <col customWidth="1" min="4" max="4" width="35.0"/>
    <col customWidth="1" min="5" max="5" width="55.0"/>
    <col customWidth="1" min="6" max="7" width="40.0"/>
    <col customWidth="1" min="8" max="8" width="12.0"/>
    <col customWidth="1" min="9" max="10" width="14.86"/>
    <col customWidth="1" min="11" max="11" width="45.0"/>
    <col customWidth="1" min="12" max="14" width="0.43"/>
    <col customWidth="1" min="15" max="26" width="8.71"/>
  </cols>
  <sheetData>
    <row r="1" ht="79.5" customHeight="1">
      <c r="A1" s="18" t="s">
        <v>14</v>
      </c>
      <c r="B1" s="18" t="s">
        <v>15</v>
      </c>
      <c r="C1" s="18" t="s">
        <v>16</v>
      </c>
      <c r="D1" s="18" t="s">
        <v>17</v>
      </c>
      <c r="E1" s="18" t="s">
        <v>18</v>
      </c>
      <c r="F1" s="18" t="s">
        <v>19</v>
      </c>
      <c r="G1" s="18" t="s">
        <v>20</v>
      </c>
      <c r="H1" s="19" t="s">
        <v>21</v>
      </c>
      <c r="I1" s="19" t="s">
        <v>22</v>
      </c>
      <c r="J1" s="18" t="s">
        <v>23</v>
      </c>
      <c r="K1" s="18" t="s">
        <v>24</v>
      </c>
      <c r="L1" s="20"/>
      <c r="M1" s="20"/>
      <c r="N1" s="20"/>
      <c r="O1" s="20"/>
      <c r="P1" s="20"/>
      <c r="Q1" s="20"/>
      <c r="R1" s="20"/>
      <c r="S1" s="20"/>
      <c r="T1" s="20"/>
      <c r="U1" s="20"/>
      <c r="V1" s="20"/>
      <c r="W1" s="20"/>
      <c r="X1" s="20"/>
      <c r="Y1" s="20"/>
      <c r="Z1" s="20"/>
      <c r="AA1" s="20"/>
      <c r="AB1" s="20"/>
      <c r="AC1" s="20"/>
      <c r="AD1" s="20"/>
      <c r="AE1" s="20"/>
      <c r="AF1" s="20"/>
    </row>
    <row r="2" ht="137.25" customHeight="1">
      <c r="A2" s="21" t="s">
        <v>25</v>
      </c>
      <c r="B2" s="22">
        <v>46135.0</v>
      </c>
      <c r="C2" s="23" t="s">
        <v>26</v>
      </c>
      <c r="D2" s="23" t="s">
        <v>27</v>
      </c>
      <c r="E2" s="24" t="s">
        <v>28</v>
      </c>
      <c r="F2" s="23" t="s">
        <v>29</v>
      </c>
      <c r="G2" s="23" t="s">
        <v>30</v>
      </c>
      <c r="H2" s="25" t="s">
        <v>31</v>
      </c>
      <c r="I2" s="25" t="s">
        <v>31</v>
      </c>
      <c r="J2" s="25" t="s">
        <v>32</v>
      </c>
      <c r="K2" s="26" t="str">
        <f>HYPERLINK("https://drive.google.com/file/d/1rl_Zqk2ki6BH5MR03stIwequ0JEFTq_j/view?usp=drive_link","Bug_1_Picture.png")</f>
        <v>Bug_1_Picture.png</v>
      </c>
    </row>
    <row r="3">
      <c r="A3" s="21" t="s">
        <v>33</v>
      </c>
      <c r="B3" s="22">
        <v>46135.0</v>
      </c>
      <c r="C3" s="27" t="s">
        <v>34</v>
      </c>
      <c r="D3" s="27" t="s">
        <v>35</v>
      </c>
      <c r="E3" s="27" t="s">
        <v>36</v>
      </c>
      <c r="F3" s="27" t="s">
        <v>37</v>
      </c>
      <c r="G3" s="27" t="s">
        <v>38</v>
      </c>
      <c r="H3" s="25" t="s">
        <v>31</v>
      </c>
      <c r="I3" s="25" t="s">
        <v>39</v>
      </c>
      <c r="J3" s="25" t="s">
        <v>32</v>
      </c>
      <c r="K3" s="26" t="str">
        <f>HYPERLINK("https://drive.google.com/file/d/1L0yrcNxAtA3xtVDig6jJd-BQBdMGtyAo/view?usp=drive_link","Bug_2_Picture.png")</f>
        <v>Bug_2_Picture.png</v>
      </c>
    </row>
    <row r="4">
      <c r="A4" s="21" t="s">
        <v>40</v>
      </c>
      <c r="B4" s="22">
        <v>46135.0</v>
      </c>
      <c r="C4" s="28" t="s">
        <v>41</v>
      </c>
      <c r="D4" s="28" t="s">
        <v>42</v>
      </c>
      <c r="E4" s="28" t="s">
        <v>43</v>
      </c>
      <c r="F4" s="28" t="s">
        <v>44</v>
      </c>
      <c r="G4" s="28" t="s">
        <v>45</v>
      </c>
      <c r="H4" s="25" t="s">
        <v>31</v>
      </c>
      <c r="I4" s="25" t="s">
        <v>31</v>
      </c>
      <c r="J4" s="25" t="s">
        <v>32</v>
      </c>
      <c r="K4" s="26" t="str">
        <f>HYPERLINK("https://drive.google.com/file/d/1M6ShphAYxq3SMeG9rm7x3bKMTTaPcvgH/view?usp=drive_link","Bug_3_Picture.png")</f>
        <v>Bug_3_Picture.png</v>
      </c>
    </row>
    <row r="5">
      <c r="A5" s="21" t="s">
        <v>46</v>
      </c>
      <c r="B5" s="22">
        <v>46135.0</v>
      </c>
      <c r="C5" s="27" t="s">
        <v>47</v>
      </c>
      <c r="D5" s="27" t="s">
        <v>48</v>
      </c>
      <c r="E5" s="27" t="s">
        <v>49</v>
      </c>
      <c r="F5" s="27" t="s">
        <v>50</v>
      </c>
      <c r="G5" s="27" t="s">
        <v>51</v>
      </c>
      <c r="H5" s="25" t="s">
        <v>31</v>
      </c>
      <c r="I5" s="25" t="s">
        <v>31</v>
      </c>
      <c r="J5" s="25" t="s">
        <v>32</v>
      </c>
      <c r="K5" s="29" t="str">
        <f>HYPERLINK("https://drive.google.com/file/d/1BiQA7qOZCcWT91ABLrCjUhqdPLMBQbmO/view?usp=drive_link","Bug_4_Picture.png")</f>
        <v>Bug_4_Picture.png</v>
      </c>
    </row>
    <row r="6">
      <c r="A6" s="21" t="s">
        <v>52</v>
      </c>
      <c r="B6" s="22">
        <v>46136.0</v>
      </c>
      <c r="C6" s="28" t="s">
        <v>53</v>
      </c>
      <c r="D6" s="28" t="s">
        <v>54</v>
      </c>
      <c r="E6" s="28" t="s">
        <v>55</v>
      </c>
      <c r="F6" s="28" t="s">
        <v>56</v>
      </c>
      <c r="G6" s="28" t="s">
        <v>57</v>
      </c>
      <c r="H6" s="25" t="s">
        <v>58</v>
      </c>
      <c r="I6" s="25" t="s">
        <v>58</v>
      </c>
      <c r="J6" s="25" t="s">
        <v>32</v>
      </c>
      <c r="K6" s="26" t="str">
        <f>HYPERLINK("https://drive.google.com/file/d/1xnW-1oGqyb56lWz_w73HBlbpr90sLqvs/view?usp=drive_link","Bug_5_Picture.png")</f>
        <v>Bug_5_Picture.png</v>
      </c>
    </row>
    <row r="7">
      <c r="A7" s="21" t="s">
        <v>59</v>
      </c>
      <c r="B7" s="22">
        <v>46136.0</v>
      </c>
      <c r="C7" s="27" t="s">
        <v>60</v>
      </c>
      <c r="D7" s="27" t="s">
        <v>61</v>
      </c>
      <c r="E7" s="27" t="s">
        <v>62</v>
      </c>
      <c r="F7" s="27" t="s">
        <v>63</v>
      </c>
      <c r="G7" s="27" t="s">
        <v>64</v>
      </c>
      <c r="H7" s="25" t="s">
        <v>31</v>
      </c>
      <c r="I7" s="25" t="s">
        <v>39</v>
      </c>
      <c r="J7" s="25" t="s">
        <v>32</v>
      </c>
      <c r="K7" s="29" t="str">
        <f>HYPERLINK("https://drive.google.com/file/d/1DVm--gZDxX0r0OCPg2m0PsTeZBLJzpVo/view?usp=drive_link","Bug_6_Picture.png")</f>
        <v>Bug_6_Picture.png</v>
      </c>
    </row>
    <row r="8">
      <c r="A8" s="21" t="s">
        <v>65</v>
      </c>
      <c r="B8" s="22">
        <v>46136.0</v>
      </c>
      <c r="C8" s="27" t="s">
        <v>41</v>
      </c>
      <c r="D8" s="27" t="s">
        <v>42</v>
      </c>
      <c r="E8" s="27" t="s">
        <v>66</v>
      </c>
      <c r="F8" s="27" t="s">
        <v>67</v>
      </c>
      <c r="G8" s="27" t="s">
        <v>68</v>
      </c>
      <c r="H8" s="25" t="s">
        <v>31</v>
      </c>
      <c r="I8" s="25" t="s">
        <v>39</v>
      </c>
      <c r="J8" s="25" t="s">
        <v>32</v>
      </c>
      <c r="K8" s="29" t="str">
        <f>HYPERLINK("https://drive.google.com/file/d/1EGWsiVQYdYK2DETAj7j-Bc3SmaIYZDwo/view?usp=drive_link","Bug_7_Picture.png")</f>
        <v>Bug_7_Picture.png</v>
      </c>
    </row>
    <row r="9">
      <c r="A9" s="21" t="s">
        <v>69</v>
      </c>
      <c r="B9" s="22">
        <v>46136.0</v>
      </c>
      <c r="C9" s="27" t="s">
        <v>41</v>
      </c>
      <c r="D9" s="27" t="s">
        <v>70</v>
      </c>
      <c r="E9" s="27" t="s">
        <v>71</v>
      </c>
      <c r="F9" s="27" t="s">
        <v>72</v>
      </c>
      <c r="G9" s="27" t="s">
        <v>73</v>
      </c>
      <c r="H9" s="25" t="s">
        <v>31</v>
      </c>
      <c r="I9" s="25" t="s">
        <v>39</v>
      </c>
      <c r="J9" s="25" t="s">
        <v>32</v>
      </c>
      <c r="K9" s="29" t="str">
        <f>HYPERLINK("https://drive.google.com/file/d/1jJhd1p4I8bV5Uwl0uxIFZ2PL5bbjC0Q-/view?usp=drive_link","Bug_8_Picture.png")</f>
        <v>Bug_8_Picture.png</v>
      </c>
    </row>
    <row r="10">
      <c r="A10" s="21" t="s">
        <v>74</v>
      </c>
      <c r="B10" s="22">
        <v>46136.0</v>
      </c>
      <c r="C10" s="27" t="s">
        <v>75</v>
      </c>
      <c r="D10" s="27" t="s">
        <v>76</v>
      </c>
      <c r="E10" s="27" t="s">
        <v>77</v>
      </c>
      <c r="F10" s="27" t="s">
        <v>78</v>
      </c>
      <c r="G10" s="27" t="s">
        <v>79</v>
      </c>
      <c r="H10" s="25" t="s">
        <v>31</v>
      </c>
      <c r="I10" s="25" t="s">
        <v>39</v>
      </c>
      <c r="J10" s="25" t="s">
        <v>32</v>
      </c>
      <c r="K10" s="29" t="str">
        <f>HYPERLINK("https://drive.google.com/file/d/1OUXi0_RKfvPI6n0Pj6_btYzwQ--EVUvG/view?usp=drive_link","Bug_9_Picture.png")</f>
        <v>Bug_9_Picture.png</v>
      </c>
    </row>
    <row r="11">
      <c r="A11" s="21" t="s">
        <v>80</v>
      </c>
      <c r="B11" s="22">
        <v>46136.0</v>
      </c>
      <c r="C11" s="27" t="s">
        <v>81</v>
      </c>
      <c r="D11" s="27" t="s">
        <v>82</v>
      </c>
      <c r="E11" s="27" t="s">
        <v>83</v>
      </c>
      <c r="F11" s="27" t="s">
        <v>84</v>
      </c>
      <c r="G11" s="27" t="s">
        <v>85</v>
      </c>
      <c r="H11" s="25" t="s">
        <v>31</v>
      </c>
      <c r="I11" s="25" t="s">
        <v>39</v>
      </c>
      <c r="J11" s="25" t="s">
        <v>32</v>
      </c>
      <c r="K11" s="29" t="str">
        <f>HYPERLINK("https://drive.google.com/file/d/11IKMPPHJG6X7xbTB7h5ZxxfUFVuEJWLm/view?usp=drive_link","Bug_10_Picture.png")</f>
        <v>Bug_10_Picture.png</v>
      </c>
    </row>
    <row r="12">
      <c r="A12" s="21" t="s">
        <v>86</v>
      </c>
      <c r="B12" s="22">
        <v>46136.0</v>
      </c>
      <c r="C12" s="27" t="s">
        <v>87</v>
      </c>
      <c r="D12" s="27" t="s">
        <v>88</v>
      </c>
      <c r="E12" s="27" t="s">
        <v>89</v>
      </c>
      <c r="F12" s="27" t="s">
        <v>90</v>
      </c>
      <c r="G12" s="27" t="s">
        <v>91</v>
      </c>
      <c r="H12" s="25" t="s">
        <v>31</v>
      </c>
      <c r="I12" s="25" t="s">
        <v>39</v>
      </c>
      <c r="J12" s="25" t="s">
        <v>32</v>
      </c>
      <c r="K12" s="29" t="str">
        <f>HYPERLINK("https://drive.google.com/file/d/1FIpwT-xYv6TaJYzl1p5blk8rg5THS0Dc/view?usp=drive_link","Bug_11_Picture.png")</f>
        <v>Bug_11_Picture.png</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dataValidations>
    <dataValidation type="list" allowBlank="1" showErrorMessage="1" sqref="H2:J12">
      <formula1>"Critical,High,Medium,Open"</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8.0"/>
    <col customWidth="1" min="2" max="2" width="12.0"/>
    <col customWidth="1" min="3" max="3" width="3.0"/>
    <col customWidth="1" min="4" max="6" width="22.0"/>
    <col customWidth="1" min="7" max="26" width="8.71"/>
  </cols>
  <sheetData>
    <row r="1">
      <c r="A1" s="30" t="s">
        <v>92</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1" t="s">
        <v>93</v>
      </c>
      <c r="B3" s="32"/>
      <c r="C3" s="2"/>
      <c r="D3" s="31" t="s">
        <v>94</v>
      </c>
      <c r="E3" s="33"/>
      <c r="F3" s="32"/>
      <c r="G3" s="2"/>
      <c r="H3" s="2"/>
      <c r="I3" s="2"/>
      <c r="J3" s="2"/>
      <c r="K3" s="2"/>
      <c r="L3" s="2"/>
      <c r="M3" s="2"/>
      <c r="N3" s="2"/>
      <c r="O3" s="2"/>
      <c r="P3" s="2"/>
      <c r="Q3" s="2"/>
      <c r="R3" s="2"/>
      <c r="S3" s="2"/>
      <c r="T3" s="2"/>
      <c r="U3" s="2"/>
      <c r="V3" s="2"/>
      <c r="W3" s="2"/>
      <c r="X3" s="2"/>
      <c r="Y3" s="2"/>
      <c r="Z3" s="2"/>
    </row>
    <row r="4">
      <c r="A4" s="34" t="s">
        <v>21</v>
      </c>
      <c r="B4" s="34" t="s">
        <v>95</v>
      </c>
      <c r="C4" s="2"/>
      <c r="D4" s="35" t="s">
        <v>16</v>
      </c>
      <c r="E4" s="35" t="s">
        <v>96</v>
      </c>
      <c r="F4" s="35" t="s">
        <v>97</v>
      </c>
      <c r="G4" s="2"/>
      <c r="H4" s="2"/>
      <c r="I4" s="2"/>
      <c r="J4" s="2"/>
      <c r="K4" s="2"/>
      <c r="L4" s="2"/>
      <c r="M4" s="2"/>
      <c r="N4" s="2"/>
      <c r="O4" s="2"/>
      <c r="P4" s="2"/>
      <c r="Q4" s="2"/>
      <c r="R4" s="2"/>
      <c r="S4" s="2"/>
      <c r="T4" s="2"/>
      <c r="U4" s="2"/>
      <c r="V4" s="2"/>
      <c r="W4" s="2"/>
      <c r="X4" s="2"/>
      <c r="Y4" s="2"/>
      <c r="Z4" s="2"/>
    </row>
    <row r="5">
      <c r="A5" s="36" t="s">
        <v>39</v>
      </c>
      <c r="B5" s="37">
        <v>7.0</v>
      </c>
      <c r="C5" s="2"/>
      <c r="D5" s="38" t="s">
        <v>26</v>
      </c>
      <c r="E5" s="37">
        <v>1.0</v>
      </c>
      <c r="F5" s="39">
        <f t="shared" ref="F5:F13" si="1">E5/SUM($E$5:$E$12)</f>
        <v>0.1</v>
      </c>
      <c r="G5" s="2"/>
      <c r="H5" s="2"/>
      <c r="I5" s="2"/>
      <c r="J5" s="2"/>
      <c r="K5" s="2"/>
      <c r="L5" s="2"/>
      <c r="M5" s="2"/>
      <c r="N5" s="2"/>
      <c r="O5" s="2"/>
      <c r="P5" s="2"/>
      <c r="Q5" s="2"/>
      <c r="R5" s="2"/>
      <c r="S5" s="2"/>
      <c r="T5" s="2"/>
      <c r="U5" s="2"/>
      <c r="V5" s="2"/>
      <c r="W5" s="2"/>
      <c r="X5" s="2"/>
      <c r="Y5" s="2"/>
      <c r="Z5" s="2"/>
    </row>
    <row r="6">
      <c r="A6" s="40" t="s">
        <v>31</v>
      </c>
      <c r="B6" s="37">
        <v>3.0</v>
      </c>
      <c r="C6" s="2"/>
      <c r="D6" s="38" t="s">
        <v>47</v>
      </c>
      <c r="E6" s="37">
        <v>1.0</v>
      </c>
      <c r="F6" s="39">
        <f t="shared" si="1"/>
        <v>0.1</v>
      </c>
      <c r="G6" s="2"/>
      <c r="H6" s="2"/>
      <c r="I6" s="2"/>
      <c r="J6" s="2"/>
      <c r="K6" s="2"/>
      <c r="L6" s="2"/>
      <c r="M6" s="2"/>
      <c r="N6" s="2"/>
      <c r="O6" s="2"/>
      <c r="P6" s="2"/>
      <c r="Q6" s="2"/>
      <c r="R6" s="2"/>
      <c r="S6" s="2"/>
      <c r="T6" s="2"/>
      <c r="U6" s="2"/>
      <c r="V6" s="2"/>
      <c r="W6" s="2"/>
      <c r="X6" s="2"/>
      <c r="Y6" s="2"/>
      <c r="Z6" s="2"/>
    </row>
    <row r="7">
      <c r="A7" s="41" t="s">
        <v>58</v>
      </c>
      <c r="B7" s="37">
        <v>1.0</v>
      </c>
      <c r="C7" s="2"/>
      <c r="D7" s="38" t="s">
        <v>98</v>
      </c>
      <c r="E7" s="37">
        <v>1.0</v>
      </c>
      <c r="F7" s="39">
        <f t="shared" si="1"/>
        <v>0.1</v>
      </c>
      <c r="G7" s="2"/>
      <c r="H7" s="2"/>
      <c r="I7" s="2"/>
      <c r="J7" s="2"/>
      <c r="K7" s="2"/>
      <c r="L7" s="2"/>
      <c r="M7" s="2"/>
      <c r="N7" s="2"/>
      <c r="O7" s="2"/>
      <c r="P7" s="2"/>
      <c r="Q7" s="2"/>
      <c r="R7" s="2"/>
      <c r="S7" s="2"/>
      <c r="T7" s="2"/>
      <c r="U7" s="2"/>
      <c r="V7" s="2"/>
      <c r="W7" s="2"/>
      <c r="X7" s="2"/>
      <c r="Y7" s="2"/>
      <c r="Z7" s="2"/>
    </row>
    <row r="8">
      <c r="A8" s="42" t="s">
        <v>99</v>
      </c>
      <c r="B8" s="37">
        <v>0.0</v>
      </c>
      <c r="C8" s="2"/>
      <c r="D8" s="38" t="s">
        <v>41</v>
      </c>
      <c r="E8" s="37">
        <v>3.0</v>
      </c>
      <c r="F8" s="39">
        <f t="shared" si="1"/>
        <v>0.3</v>
      </c>
      <c r="G8" s="2"/>
      <c r="H8" s="2"/>
      <c r="I8" s="2"/>
      <c r="J8" s="2"/>
      <c r="K8" s="2"/>
      <c r="L8" s="2"/>
      <c r="M8" s="2"/>
      <c r="N8" s="2"/>
      <c r="O8" s="2"/>
      <c r="P8" s="2"/>
      <c r="Q8" s="2"/>
      <c r="R8" s="2"/>
      <c r="S8" s="2"/>
      <c r="T8" s="2"/>
      <c r="U8" s="2"/>
      <c r="V8" s="2"/>
      <c r="W8" s="2"/>
      <c r="X8" s="2"/>
      <c r="Y8" s="2"/>
      <c r="Z8" s="2"/>
    </row>
    <row r="9">
      <c r="A9" s="43" t="s">
        <v>100</v>
      </c>
      <c r="B9" s="43">
        <f>SUM(B5:B8)</f>
        <v>11</v>
      </c>
      <c r="C9" s="2"/>
      <c r="D9" s="38" t="s">
        <v>53</v>
      </c>
      <c r="E9" s="37">
        <v>1.0</v>
      </c>
      <c r="F9" s="39">
        <f t="shared" si="1"/>
        <v>0.1</v>
      </c>
      <c r="G9" s="2"/>
      <c r="H9" s="2"/>
      <c r="I9" s="2"/>
      <c r="J9" s="2"/>
      <c r="K9" s="2"/>
      <c r="L9" s="2"/>
      <c r="M9" s="2"/>
      <c r="N9" s="2"/>
      <c r="O9" s="2"/>
      <c r="P9" s="2"/>
      <c r="Q9" s="2"/>
      <c r="R9" s="2"/>
      <c r="S9" s="2"/>
      <c r="T9" s="2"/>
      <c r="U9" s="2"/>
      <c r="V9" s="2"/>
      <c r="W9" s="2"/>
      <c r="X9" s="2"/>
      <c r="Y9" s="2"/>
      <c r="Z9" s="2"/>
    </row>
    <row r="10">
      <c r="A10" s="2"/>
      <c r="B10" s="2"/>
      <c r="C10" s="2"/>
      <c r="D10" s="38" t="s">
        <v>101</v>
      </c>
      <c r="E10" s="37">
        <v>1.0</v>
      </c>
      <c r="F10" s="39">
        <f t="shared" si="1"/>
        <v>0.1</v>
      </c>
      <c r="G10" s="2"/>
      <c r="H10" s="2"/>
      <c r="I10" s="2"/>
      <c r="J10" s="2"/>
      <c r="K10" s="2"/>
      <c r="L10" s="2"/>
      <c r="M10" s="2"/>
      <c r="N10" s="2"/>
      <c r="O10" s="2"/>
      <c r="P10" s="2"/>
      <c r="Q10" s="2"/>
      <c r="R10" s="2"/>
      <c r="S10" s="2"/>
      <c r="T10" s="2"/>
      <c r="U10" s="2"/>
      <c r="V10" s="2"/>
      <c r="W10" s="2"/>
      <c r="X10" s="2"/>
      <c r="Y10" s="2"/>
      <c r="Z10" s="2"/>
    </row>
    <row r="11">
      <c r="A11" s="2"/>
      <c r="B11" s="2"/>
      <c r="C11" s="2"/>
      <c r="D11" s="38" t="s">
        <v>75</v>
      </c>
      <c r="E11" s="37">
        <v>1.0</v>
      </c>
      <c r="F11" s="39">
        <f t="shared" si="1"/>
        <v>0.1</v>
      </c>
      <c r="G11" s="2"/>
      <c r="H11" s="2"/>
      <c r="I11" s="2"/>
      <c r="J11" s="2"/>
      <c r="K11" s="2"/>
      <c r="L11" s="2"/>
      <c r="M11" s="2"/>
      <c r="N11" s="2"/>
      <c r="O11" s="2"/>
      <c r="P11" s="2"/>
      <c r="Q11" s="2"/>
      <c r="R11" s="2"/>
      <c r="S11" s="2"/>
      <c r="T11" s="2"/>
      <c r="U11" s="2"/>
      <c r="V11" s="2"/>
      <c r="W11" s="2"/>
      <c r="X11" s="2"/>
      <c r="Y11" s="2"/>
      <c r="Z11" s="2"/>
    </row>
    <row r="12">
      <c r="A12" s="2"/>
      <c r="B12" s="2"/>
      <c r="C12" s="2"/>
      <c r="D12" s="38" t="s">
        <v>81</v>
      </c>
      <c r="E12" s="37">
        <v>1.0</v>
      </c>
      <c r="F12" s="39">
        <f t="shared" si="1"/>
        <v>0.1</v>
      </c>
      <c r="G12" s="2"/>
      <c r="H12" s="2"/>
      <c r="I12" s="2"/>
      <c r="J12" s="2"/>
      <c r="K12" s="2"/>
      <c r="L12" s="2"/>
      <c r="M12" s="2"/>
      <c r="N12" s="2"/>
      <c r="O12" s="2"/>
      <c r="P12" s="2"/>
      <c r="Q12" s="2"/>
      <c r="R12" s="2"/>
      <c r="S12" s="2"/>
      <c r="T12" s="2"/>
      <c r="U12" s="2"/>
      <c r="V12" s="2"/>
      <c r="W12" s="2"/>
      <c r="X12" s="2"/>
      <c r="Y12" s="2"/>
      <c r="Z12" s="2"/>
    </row>
    <row r="13">
      <c r="A13" s="2"/>
      <c r="B13" s="2"/>
      <c r="C13" s="2"/>
      <c r="D13" s="38" t="s">
        <v>87</v>
      </c>
      <c r="E13" s="37">
        <v>1.0</v>
      </c>
      <c r="F13" s="39">
        <f t="shared" si="1"/>
        <v>0.1</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F1"/>
    <mergeCell ref="A3:B3"/>
    <mergeCell ref="D3:F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2026-04-14T19:55:05Z</dcterms:created>
  <dc:creator>openpyxl</dc:creator>
</cp:coreProperties>
</file>